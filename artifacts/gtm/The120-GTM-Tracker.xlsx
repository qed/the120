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1 Scorecard" sheetId="1" state="visible" r:id="rId3"/>
    <sheet name="Funnel &amp; Sources" sheetId="2" state="visible" r:id="rId4"/>
    <sheet name="8-Week Tracker" sheetId="3" state="visible" r:id="rId5"/>
    <sheet name="Working vs Not + 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<sst xmlns="http://schemas.openxmlformats.org/spreadsheetml/2006/main" count="221" uniqueCount="186">
  <si>
    <t xml:space="preserve">THE 120 — WEEK 1 SCORECARD  (Jul 13–19, 2026)</t>
  </si>
  <si>
    <t xml:space="preserve">Phase 1 · ARM · Primary push: “Machine online + warm 25”  ·  Grade: strong — machine live, warm engine converting, deposits 3 weeks ahead of plan</t>
  </si>
  <si>
    <t xml:space="preserve">Area</t>
  </si>
  <si>
    <t xml:space="preserve">Deliverable / Target</t>
  </si>
  <si>
    <t xml:space="preserve">Planned</t>
  </si>
  <si>
    <t xml:space="preserve">Actual</t>
  </si>
  <si>
    <t xml:space="preserve">Status</t>
  </si>
  <si>
    <t xml:space="preserve">Notes / Carry-over</t>
  </si>
  <si>
    <t xml:space="preserve">Machine</t>
  </si>
  <si>
    <t xml:space="preserve">Cal.com booking link</t>
  </si>
  <si>
    <t xml:space="preserve">Live + wired into site</t>
  </si>
  <si>
    <t xml:space="preserve">Live; 1 booking from a new visitor</t>
  </si>
  <si>
    <t xml:space="preserve">Done</t>
  </si>
  <si>
    <t xml:space="preserve">—</t>
  </si>
  <si>
    <t xml:space="preserve">Stripe go-live</t>
  </si>
  <si>
    <t xml:space="preserve">Live keys + $250 charge/refund verified</t>
  </si>
  <si>
    <t xml:space="preserve">Live; a real $250 deposit taken</t>
  </si>
  <si>
    <t xml:space="preserve">Ahead</t>
  </si>
  <si>
    <t xml:space="preserve">Deposits weren’t forecast until Week 4</t>
  </si>
  <si>
    <t xml:space="preserve">Email provider + welcome #1</t>
  </si>
  <si>
    <t xml:space="preserve">Provider picked + welcome sending</t>
  </si>
  <si>
    <t xml:space="preserve">Resend set up; welcome NOT sent</t>
  </si>
  <si>
    <t xml:space="preserve">Partial</t>
  </si>
  <si>
    <t xml:space="preserve">→ Send today (Week 2)</t>
  </si>
  <si>
    <t xml:space="preserve">Domain + admissions@ mailbox</t>
  </si>
  <si>
    <t xml:space="preserve">Registered + live</t>
  </si>
  <si>
    <t xml:space="preserve">Both registered and live</t>
  </si>
  <si>
    <t xml:space="preserve">Build</t>
  </si>
  <si>
    <t xml:space="preserve">Ticket A — “how did you hear / referral code” field</t>
  </si>
  <si>
    <t xml:space="preserve">Filed + shipped</t>
  </si>
  <si>
    <t xml:space="preserve">Shipped &amp; live on signup</t>
  </si>
  <si>
    <t xml:space="preserve">Powers all source attribution</t>
  </si>
  <si>
    <t xml:space="preserve">Ticket B — Gauntlet shareable score card</t>
  </si>
  <si>
    <t xml:space="preserve">Ticket filed</t>
  </si>
  <si>
    <t xml:space="preserve">Not started</t>
  </si>
  <si>
    <t xml:space="preserve">→ Build spec to Ethan (Week 2)</t>
  </si>
  <si>
    <t xml:space="preserve">Assets</t>
  </si>
  <si>
    <t xml:space="preserve">One-page explainer PDF</t>
  </si>
  <si>
    <t xml:space="preserve">Final branded PDF</t>
  </si>
  <si>
    <t xml:space="preserve">Draft</t>
  </si>
  <si>
    <t xml:space="preserve">→ Finalize (Week 2)</t>
  </si>
  <si>
    <t xml:space="preserve">Welcome email #1 copy</t>
  </si>
  <si>
    <t xml:space="preserve">Written + sending</t>
  </si>
  <si>
    <t xml:space="preserve">Not sent</t>
  </si>
  <si>
    <t xml:space="preserve">→ Draft + send (Week 2)</t>
  </si>
  <si>
    <t xml:space="preserve">Outreach</t>
  </si>
  <si>
    <t xml:space="preserve">Warm-25 messaged</t>
  </si>
  <si>
    <t xml:space="preserve">25 conversations started</t>
  </si>
  <si>
    <t xml:space="preserve">26 messaged / 16 real conversations</t>
  </si>
  <si>
    <t xml:space="preserve">Met target on messaged</t>
  </si>
  <si>
    <t xml:space="preserve">Calls booked</t>
  </si>
  <si>
    <t xml:space="preserve">10 booked</t>
  </si>
  <si>
    <t xml:space="preserve">8 held / upcoming</t>
  </si>
  <si>
    <t xml:space="preserve">80% of target — nearly there</t>
  </si>
  <si>
    <t xml:space="preserve">Ambassadors</t>
  </si>
  <si>
    <t xml:space="preserve">Seed texts to families</t>
  </si>
  <si>
    <t xml:space="preserve">3 families texted</t>
  </si>
  <si>
    <t xml:space="preserve">0 — no work started</t>
  </si>
  <si>
    <t xml:space="preserve">→ 5 personally seeded (Week 2)</t>
  </si>
  <si>
    <t xml:space="preserve">Status key:</t>
  </si>
  <si>
    <t xml:space="preserve">Done / Ahead = shipped   ·   Partial / Draft = carry into Week 2   ·   Not started = must be picked up</t>
  </si>
  <si>
    <t xml:space="preserve">FUNNEL — PLAN (by Sep 1) vs. ACTUAL (end of Week 1)</t>
  </si>
  <si>
    <t xml:space="preserve">Sep-1 mission: 200 interested families + 48–55 refundable deposits, so September fills itself</t>
  </si>
  <si>
    <t xml:space="preserve">Stage</t>
  </si>
  <si>
    <t xml:space="preserve">Sep-1 Target</t>
  </si>
  <si>
    <t xml:space="preserve">End of W1</t>
  </si>
  <si>
    <t xml:space="preserve">% of Sep-1 goal</t>
  </si>
  <si>
    <t xml:space="preserve">Read</t>
  </si>
  <si>
    <t xml:space="preserve">Interested families (CASL-consented)</t>
  </si>
  <si>
    <t xml:space="preserve">Ahead of the ~25/wk pace needed</t>
  </si>
  <si>
    <t xml:space="preserve">   — not yet messaged</t>
  </si>
  <si>
    <t xml:space="preserve">Queue — send this week</t>
  </si>
  <si>
    <t xml:space="preserve">   — messaged / conversation started</t>
  </si>
  <si>
    <t xml:space="preserve">Met the 25 warm-convo target</t>
  </si>
  <si>
    <t xml:space="preserve">   — real back-and-forth conversation</t>
  </si>
  <si>
    <t xml:space="preserve">Deep warm relationships</t>
  </si>
  <si>
    <t xml:space="preserve">Intro call booked</t>
  </si>
  <si>
    <t xml:space="preserve">~1/wk pace vs 10/wk needed later</t>
  </si>
  <si>
    <t xml:space="preserve">Call held</t>
  </si>
  <si>
    <t xml:space="preserve">Every conversation is converting</t>
  </si>
  <si>
    <t xml:space="preserve">Dossier submitted</t>
  </si>
  <si>
    <t xml:space="preserve">Early — ahead of schedule</t>
  </si>
  <si>
    <t xml:space="preserve">$250 deposit paid</t>
  </si>
  <si>
    <t xml:space="preserve">3 weeks early (not due until W4)</t>
  </si>
  <si>
    <t xml:space="preserve">WHERE THE FAMILIES CAME FROM</t>
  </si>
  <si>
    <t xml:space="preserve">Source</t>
  </si>
  <si>
    <t xml:space="preserve">Count</t>
  </si>
  <si>
    <t xml:space="preserve">Share</t>
  </si>
  <si>
    <t xml:space="preserve">Warm network (founder-led personal outreach)</t>
  </si>
  <si>
    <t xml:space="preserve">Inbound — founder’s posts on X</t>
  </si>
  <si>
    <t xml:space="preserve">Total families</t>
  </si>
  <si>
    <t xml:space="preserve">Note:</t>
  </si>
  <si>
    <t xml:space="preserve">Families ≠ students — several families have 2+ kids, so student/seat count runs higher than 32. X inbound is unplanned and free; small n (3) but worth a deliberate test.</t>
  </si>
  <si>
    <t xml:space="preserve">THE 120 — 8-WEEK GTM TRACKER</t>
  </si>
  <si>
    <t xml:space="preserve">Fill the yellow ACTUAL cells each Friday. Status auto-flags any week where interested runs &gt;30% under target — the plan’s rule: that stage becomes the next week’s primary push.</t>
  </si>
  <si>
    <t xml:space="preserve">Week</t>
  </si>
  <si>
    <t xml:space="preserve">Phase</t>
  </si>
  <si>
    <t xml:space="preserve">Dates</t>
  </si>
  <si>
    <t xml:space="preserve">Primary push</t>
  </si>
  <si>
    <t xml:space="preserve">Interested (cum.)</t>
  </si>
  <si>
    <t xml:space="preserve">Calls booked (cum.)</t>
  </si>
  <si>
    <t xml:space="preserve">Deposits (cum.)</t>
  </si>
  <si>
    <t xml:space="preserve">Interested vs target</t>
  </si>
  <si>
    <t xml:space="preserve">Status (auto)</t>
  </si>
  <si>
    <t xml:space="preserve">Notes</t>
  </si>
  <si>
    <t xml:space="preserve">Target</t>
  </si>
  <si>
    <t xml:space="preserve">W1</t>
  </si>
  <si>
    <t xml:space="preserve">ARM</t>
  </si>
  <si>
    <t xml:space="preserve">Jul 13–19</t>
  </si>
  <si>
    <t xml:space="preserve">Machine online + warm 25</t>
  </si>
  <si>
    <t xml:space="preserve">Strong start; deposits ahead. Carry: welcome email, share card, one-pager.</t>
  </si>
  <si>
    <t xml:space="preserve">W2</t>
  </si>
  <si>
    <t xml:space="preserve">Jul 20–26</t>
  </si>
  <si>
    <t xml:space="preserve">Recruit ambassadors</t>
  </si>
  <si>
    <t xml:space="preserve">Adjusted: warm engine → 10 new families; 5 ambassadors self-seeded (stretch 12–15 if Ethan leads).</t>
  </si>
  <si>
    <t xml:space="preserve">W3</t>
  </si>
  <si>
    <t xml:space="preserve">SEED</t>
  </si>
  <si>
    <t xml:space="preserve">Jul 27–Aug 2</t>
  </si>
  <si>
    <t xml:space="preserve">Gifted-parent communities</t>
  </si>
  <si>
    <t xml:space="preserve">W4</t>
  </si>
  <si>
    <t xml:space="preserve">Aug 3–9</t>
  </si>
  <si>
    <t xml:space="preserve">The Gauntlet goes public</t>
  </si>
  <si>
    <t xml:space="preserve">W5</t>
  </si>
  <si>
    <t xml:space="preserve">SURGE</t>
  </si>
  <si>
    <t xml:space="preserve">Aug 10–16</t>
  </si>
  <si>
    <t xml:space="preserve">Five-group verticals</t>
  </si>
  <si>
    <t xml:space="preserve">W6</t>
  </si>
  <si>
    <t xml:space="preserve">Aug 17–23</t>
  </si>
  <si>
    <t xml:space="preserve">Info sessions week</t>
  </si>
  <si>
    <t xml:space="preserve">W7</t>
  </si>
  <si>
    <t xml:space="preserve">LAND</t>
  </si>
  <si>
    <t xml:space="preserve">Aug 24–30</t>
  </si>
  <si>
    <t xml:space="preserve">Deposit push</t>
  </si>
  <si>
    <t xml:space="preserve">W8</t>
  </si>
  <si>
    <t xml:space="preserve">Aug 31–Sep 4</t>
  </si>
  <si>
    <t xml:space="preserve">September landing</t>
  </si>
  <si>
    <t xml:space="preserve">How to use:</t>
  </si>
  <si>
    <t xml:space="preserve">Yellow = you fill each Friday (cumulative running totals). Targets come straight from the sprint plan §1–§2. Deposits are cumulative and only start mounting from W4.</t>
  </si>
  <si>
    <t xml:space="preserve">WHAT’S WORKING vs. WHAT’S NOT — and Week 2 actions</t>
  </si>
  <si>
    <t xml:space="preserve">Read after Week 1; drives the Week 2 plan</t>
  </si>
  <si>
    <t xml:space="preserve">✓  WORKING — double down</t>
  </si>
  <si>
    <t xml:space="preserve">Warm network conversion</t>
  </si>
  <si>
    <t xml:space="preserve">10 messaged → 8 conversations → 8 calls booked (~80% message→call). Deposits close on trust; trust closes on a call — validated.</t>
  </si>
  <si>
    <t xml:space="preserve">The machine shipped</t>
  </si>
  <si>
    <t xml:space="preserve">Booking, live Stripe payments, attributed signups, and domain all live in week 1.</t>
  </si>
  <si>
    <t xml:space="preserve">Ahead on hard stages</t>
  </si>
  <si>
    <t xml:space="preserve">1 real deposit + 2 dossiers already — the plan didn’t forecast deposits until Week 4.</t>
  </si>
  <si>
    <t xml:space="preserve">Free inbound from X</t>
  </si>
  <si>
    <t xml:space="preserve">3 strangers signed up from the founder’s own X posts — a channel that isn’t in the plan and costs nothing.</t>
  </si>
  <si>
    <t xml:space="preserve">✗  NOT WORKING / BEHIND — fix in Week 2</t>
  </si>
  <si>
    <t xml:space="preserve">Ambassadors at zero</t>
  </si>
  <si>
    <t xml:space="preserve">Week 2’s whole push was 12–15 ambassadors. No work started; ownership (Ethan) unconfirmed.</t>
  </si>
  <si>
    <t xml:space="preserve">Ambassador tooling missing</t>
  </si>
  <si>
    <t xml:space="preserve">The viral mechanic — the Gauntlet share card — isn’t built, so even a recruited crew has nothing to share yet.</t>
  </si>
  <si>
    <t xml:space="preserve">Welcome email not sending</t>
  </si>
  <si>
    <t xml:space="preserve">Resend is set up but welcome #1 hasn’t gone — the nurture machine isn’t running.</t>
  </si>
  <si>
    <t xml:space="preserve">One-pager still a draft</t>
  </si>
  <si>
    <t xml:space="preserve">The core sales asset every ‘tell me more’ reply needs isn’t finalized.</t>
  </si>
  <si>
    <t xml:space="preserve">Warm list under-built</t>
  </si>
  <si>
    <t xml:space="preserve">Only ~16 named / 26 messaged vs. a 25+ list — the highest-ROI channel is under-fed.</t>
  </si>
  <si>
    <t xml:space="preserve">WEEK 2 ACTIONS &amp; DELIVERABLES</t>
  </si>
  <si>
    <t xml:space="preserve">Action / Deliverable</t>
  </si>
  <si>
    <t xml:space="preserve">Detail</t>
  </si>
  <si>
    <t xml:space="preserve">Owner</t>
  </si>
  <si>
    <t xml:space="preserve">Warm engine → 10 new families</t>
  </si>
  <si>
    <t xml:space="preserve">Message the 6 unsent, rebuild list past 25, ask 8 warm families for 2 intros each</t>
  </si>
  <si>
    <t xml:space="preserve">Peter</t>
  </si>
  <si>
    <t xml:space="preserve">Seed 5 ambassadors personally</t>
  </si>
  <si>
    <t xml:space="preserve">From warm families; floor of 5 (stretch 12–15 if Ethan leads)</t>
  </si>
  <si>
    <t xml:space="preserve">Decide Ethan as ambassador lead</t>
  </si>
  <si>
    <t xml:space="preserve">Know by tomorrow; if no, big push slides to W3 (decide next Monday)</t>
  </si>
  <si>
    <t xml:space="preserve">Send welcome email #1</t>
  </si>
  <si>
    <t xml:space="preserve">Turn on the nurture machine today</t>
  </si>
  <si>
    <t xml:space="preserve">Finalize the one-pager</t>
  </si>
  <si>
    <t xml:space="preserve">Ship the branded PDF from the draft</t>
  </si>
  <si>
    <t xml:space="preserve">Claude → Peter</t>
  </si>
  <si>
    <t xml:space="preserve">Gauntlet share-card build spec</t>
  </si>
  <si>
    <t xml:space="preserve">Full spec: what it is, behaviour, how it works, tech notes — for Ethan</t>
  </si>
  <si>
    <t xml:space="preserve">Claude → Ethan</t>
  </si>
  <si>
    <t xml:space="preserve">Pipeline stages update spec</t>
  </si>
  <si>
    <t xml:space="preserve">Add Conversation → Call Booked → Call Held before Dossier Submitted</t>
  </si>
  <si>
    <t xml:space="preserve">Ambassador kit</t>
  </si>
  <si>
    <t xml:space="preserve">1-page ‘what you do’, referral-code card, shareable images, parent consent note</t>
  </si>
  <si>
    <t xml:space="preserve">Claude</t>
  </si>
  <si>
    <t xml:space="preserve">Ambassador kickoff agenda</t>
  </si>
  <si>
    <t xml:space="preserve">45-min virtual kickoff run-of-show for the seeded ambassadors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</si>
</sst>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4155"/>
      </patternFill>
    </fill>
    <fill>
      <patternFill patternType="solid">
        <fgColor rgb="FF334155"/>
        <bgColor rgb="FF1F3A5F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FF7CC"/>
      </patternFill>
    </fill>
    <fill>
      <patternFill patternType="solid">
        <fgColor rgb="FFFEE2E2"/>
        <bgColor rgb="FFFEF3C7"/>
      </patternFill>
    </fill>
    <fill>
      <patternFill patternType="solid">
        <fgColor rgb="FFFFF7CC"/>
        <bgColor rgb="FFFEF3C7"/>
      </patternFill>
    </fill>
    <fill>
      <patternFill patternType="solid">
        <fgColor rgb="FF166534"/>
        <bgColor rgb="FF334155"/>
      </patternFill>
    </fill>
    <fill>
      <patternFill patternType="solid">
        <fgColor rgb="FF991B1B"/>
        <bgColor rgb="FF800000"/>
      </patternFill>
    </fill>
    <fill>
      <patternFill patternType="solid">
        <fgColor rgb="FFE0ECFF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66534"/>
        <sz val="9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400E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91B1B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CFF"/>
      <rgbColor rgb="FFF1F5F9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2400E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14"/>
    <col collapsed="false" customWidth="true" hidden="false" outlineLevel="0" max="6" min="6" style="1" width="3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30" hidden="false" customHeight="true" outlineLevel="0" collapsed="false">
      <c r="A4" s="5" t="s">
        <v>8</v>
      </c>
      <c r="B4" s="6" t="s">
        <v>9</v>
      </c>
      <c r="C4" s="7" t="s">
        <v>10</v>
      </c>
      <c r="D4" s="7" t="s">
        <v>11</v>
      </c>
      <c r="E4" s="8" t="s">
        <v>12</v>
      </c>
      <c r="F4" s="9" t="s">
        <v>13</v>
      </c>
    </row>
    <row r="5" customFormat="false" ht="30" hidden="false" customHeight="true" outlineLevel="0" collapsed="false">
      <c r="A5" s="5" t="s">
        <v>8</v>
      </c>
      <c r="B5" s="6" t="s">
        <v>14</v>
      </c>
      <c r="C5" s="7" t="s">
        <v>15</v>
      </c>
      <c r="D5" s="7" t="s">
        <v>16</v>
      </c>
      <c r="E5" s="8" t="s">
        <v>17</v>
      </c>
      <c r="F5" s="9" t="s">
        <v>18</v>
      </c>
    </row>
    <row r="6" customFormat="false" ht="30" hidden="false" customHeight="true" outlineLevel="0" collapsed="false">
      <c r="A6" s="5" t="s">
        <v>8</v>
      </c>
      <c r="B6" s="6" t="s">
        <v>19</v>
      </c>
      <c r="C6" s="7" t="s">
        <v>20</v>
      </c>
      <c r="D6" s="7" t="s">
        <v>21</v>
      </c>
      <c r="E6" s="10" t="s">
        <v>22</v>
      </c>
      <c r="F6" s="9" t="s">
        <v>23</v>
      </c>
    </row>
    <row r="7" customFormat="false" ht="30" hidden="false" customHeight="true" outlineLevel="0" collapsed="false">
      <c r="A7" s="5" t="s">
        <v>8</v>
      </c>
      <c r="B7" s="6" t="s">
        <v>24</v>
      </c>
      <c r="C7" s="7" t="s">
        <v>25</v>
      </c>
      <c r="D7" s="7" t="s">
        <v>26</v>
      </c>
      <c r="E7" s="8" t="s">
        <v>12</v>
      </c>
      <c r="F7" s="9" t="s">
        <v>13</v>
      </c>
    </row>
    <row r="8" customFormat="false" ht="30" hidden="false" customHeight="true" outlineLevel="0" collapsed="false">
      <c r="A8" s="5" t="s">
        <v>27</v>
      </c>
      <c r="B8" s="6" t="s">
        <v>28</v>
      </c>
      <c r="C8" s="7" t="s">
        <v>29</v>
      </c>
      <c r="D8" s="7" t="s">
        <v>30</v>
      </c>
      <c r="E8" s="8" t="s">
        <v>12</v>
      </c>
      <c r="F8" s="9" t="s">
        <v>31</v>
      </c>
    </row>
    <row r="9" customFormat="false" ht="30" hidden="false" customHeight="true" outlineLevel="0" collapsed="false">
      <c r="A9" s="5" t="s">
        <v>27</v>
      </c>
      <c r="B9" s="6" t="s">
        <v>32</v>
      </c>
      <c r="C9" s="7" t="s">
        <v>33</v>
      </c>
      <c r="D9" s="7" t="s">
        <v>34</v>
      </c>
      <c r="E9" s="11" t="s">
        <v>34</v>
      </c>
      <c r="F9" s="9" t="s">
        <v>35</v>
      </c>
    </row>
    <row r="10" customFormat="false" ht="30" hidden="false" customHeight="true" outlineLevel="0" collapsed="false">
      <c r="A10" s="5" t="s">
        <v>36</v>
      </c>
      <c r="B10" s="6" t="s">
        <v>37</v>
      </c>
      <c r="C10" s="7" t="s">
        <v>38</v>
      </c>
      <c r="D10" s="7" t="s">
        <v>39</v>
      </c>
      <c r="E10" s="10" t="s">
        <v>39</v>
      </c>
      <c r="F10" s="9" t="s">
        <v>40</v>
      </c>
    </row>
    <row r="11" customFormat="false" ht="30" hidden="false" customHeight="true" outlineLevel="0" collapsed="false">
      <c r="A11" s="5" t="s">
        <v>36</v>
      </c>
      <c r="B11" s="6" t="s">
        <v>41</v>
      </c>
      <c r="C11" s="7" t="s">
        <v>42</v>
      </c>
      <c r="D11" s="7" t="s">
        <v>43</v>
      </c>
      <c r="E11" s="10" t="s">
        <v>22</v>
      </c>
      <c r="F11" s="9" t="s">
        <v>44</v>
      </c>
    </row>
    <row r="12" customFormat="false" ht="30" hidden="false" customHeight="true" outlineLevel="0" collapsed="false">
      <c r="A12" s="5" t="s">
        <v>45</v>
      </c>
      <c r="B12" s="6" t="s">
        <v>46</v>
      </c>
      <c r="C12" s="7" t="s">
        <v>47</v>
      </c>
      <c r="D12" s="7" t="s">
        <v>48</v>
      </c>
      <c r="E12" s="8" t="s">
        <v>12</v>
      </c>
      <c r="F12" s="9" t="s">
        <v>49</v>
      </c>
    </row>
    <row r="13" customFormat="false" ht="30" hidden="false" customHeight="true" outlineLevel="0" collapsed="false">
      <c r="A13" s="5" t="s">
        <v>45</v>
      </c>
      <c r="B13" s="6" t="s">
        <v>50</v>
      </c>
      <c r="C13" s="7" t="s">
        <v>51</v>
      </c>
      <c r="D13" s="7" t="s">
        <v>52</v>
      </c>
      <c r="E13" s="10" t="s">
        <v>22</v>
      </c>
      <c r="F13" s="9" t="s">
        <v>53</v>
      </c>
    </row>
    <row r="14" customFormat="false" ht="30" hidden="false" customHeight="true" outlineLevel="0" collapsed="false">
      <c r="A14" s="5" t="s">
        <v>54</v>
      </c>
      <c r="B14" s="6" t="s">
        <v>55</v>
      </c>
      <c r="C14" s="7" t="s">
        <v>56</v>
      </c>
      <c r="D14" s="7" t="s">
        <v>57</v>
      </c>
      <c r="E14" s="11" t="s">
        <v>34</v>
      </c>
      <c r="F14" s="9" t="s">
        <v>58</v>
      </c>
    </row>
    <row r="16" customFormat="false" ht="15" hidden="false" customHeight="true" outlineLevel="0" collapsed="false">
      <c r="A16" s="12" t="s">
        <v>59</v>
      </c>
      <c r="B16" s="13" t="s">
        <v>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2" t="s">
        <v>61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62</v>
      </c>
      <c r="B2" s="3"/>
      <c r="C2" s="3"/>
      <c r="D2" s="3"/>
      <c r="E2" s="3"/>
    </row>
    <row r="3" customFormat="false" ht="30" hidden="false" customHeight="true" outlineLevel="0" collapsed="false">
      <c r="A3" s="4" t="s">
        <v>63</v>
      </c>
      <c r="B3" s="4" t="s">
        <v>64</v>
      </c>
      <c r="C3" s="4" t="s">
        <v>65</v>
      </c>
      <c r="D3" s="4" t="s">
        <v>66</v>
      </c>
      <c r="E3" s="4" t="s">
        <v>67</v>
      </c>
    </row>
    <row r="4" customFormat="false" ht="24" hidden="false" customHeight="true" outlineLevel="0" collapsed="false">
      <c r="A4" s="14" t="s">
        <v>68</v>
      </c>
      <c r="B4" s="15" t="n">
        <v>200</v>
      </c>
      <c r="C4" s="16" t="n">
        <v>32</v>
      </c>
      <c r="D4" s="17" t="n">
        <f aca="false">IF(B4=0,"",C4/B4)</f>
        <v>0.16</v>
      </c>
      <c r="E4" s="9" t="s">
        <v>69</v>
      </c>
    </row>
    <row r="5" customFormat="false" ht="24" hidden="false" customHeight="true" outlineLevel="0" collapsed="false">
      <c r="A5" s="9" t="s">
        <v>70</v>
      </c>
      <c r="B5" s="18" t="s">
        <v>13</v>
      </c>
      <c r="C5" s="16" t="n">
        <v>6</v>
      </c>
      <c r="D5" s="19"/>
      <c r="E5" s="9" t="s">
        <v>71</v>
      </c>
    </row>
    <row r="6" customFormat="false" ht="24" hidden="false" customHeight="true" outlineLevel="0" collapsed="false">
      <c r="A6" s="9" t="s">
        <v>72</v>
      </c>
      <c r="B6" s="18" t="s">
        <v>13</v>
      </c>
      <c r="C6" s="16" t="n">
        <v>26</v>
      </c>
      <c r="D6" s="19"/>
      <c r="E6" s="9" t="s">
        <v>73</v>
      </c>
    </row>
    <row r="7" customFormat="false" ht="24" hidden="false" customHeight="true" outlineLevel="0" collapsed="false">
      <c r="A7" s="9" t="s">
        <v>74</v>
      </c>
      <c r="B7" s="18" t="s">
        <v>13</v>
      </c>
      <c r="C7" s="16" t="n">
        <v>16</v>
      </c>
      <c r="D7" s="19"/>
      <c r="E7" s="9" t="s">
        <v>75</v>
      </c>
    </row>
    <row r="8" customFormat="false" ht="24" hidden="false" customHeight="true" outlineLevel="0" collapsed="false">
      <c r="A8" s="14" t="s">
        <v>76</v>
      </c>
      <c r="B8" s="15" t="n">
        <v>90</v>
      </c>
      <c r="C8" s="16" t="n">
        <v>8</v>
      </c>
      <c r="D8" s="17" t="n">
        <f aca="false">IF(B8=0,"",C8/B8)</f>
        <v>0.0888888888888889</v>
      </c>
      <c r="E8" s="9" t="s">
        <v>77</v>
      </c>
    </row>
    <row r="9" customFormat="false" ht="24" hidden="false" customHeight="true" outlineLevel="0" collapsed="false">
      <c r="A9" s="14" t="s">
        <v>78</v>
      </c>
      <c r="B9" s="15" t="n">
        <v>72</v>
      </c>
      <c r="C9" s="16" t="n">
        <v>8</v>
      </c>
      <c r="D9" s="17" t="n">
        <f aca="false">IF(B9=0,"",C9/B9)</f>
        <v>0.111111111111111</v>
      </c>
      <c r="E9" s="9" t="s">
        <v>79</v>
      </c>
    </row>
    <row r="10" customFormat="false" ht="24" hidden="false" customHeight="true" outlineLevel="0" collapsed="false">
      <c r="A10" s="14" t="s">
        <v>80</v>
      </c>
      <c r="B10" s="15" t="n">
        <v>77</v>
      </c>
      <c r="C10" s="16" t="n">
        <v>2</v>
      </c>
      <c r="D10" s="17" t="n">
        <f aca="false">IF(B10=0,"",C10/B10)</f>
        <v>0.025974025974026</v>
      </c>
      <c r="E10" s="9" t="s">
        <v>81</v>
      </c>
    </row>
    <row r="11" customFormat="false" ht="24" hidden="false" customHeight="true" outlineLevel="0" collapsed="false">
      <c r="A11" s="14" t="s">
        <v>82</v>
      </c>
      <c r="B11" s="15" t="n">
        <v>50</v>
      </c>
      <c r="C11" s="16" t="n">
        <v>1</v>
      </c>
      <c r="D11" s="17" t="n">
        <f aca="false">IF(B11=0,"",C11/B11)</f>
        <v>0.02</v>
      </c>
      <c r="E11" s="9" t="s">
        <v>83</v>
      </c>
    </row>
    <row r="13" customFormat="false" ht="15" hidden="false" customHeight="true" outlineLevel="0" collapsed="false">
      <c r="A13" s="20" t="s">
        <v>84</v>
      </c>
      <c r="B13" s="20"/>
      <c r="C13" s="20"/>
      <c r="D13" s="20"/>
      <c r="E13" s="20"/>
    </row>
    <row r="14" customFormat="false" ht="30" hidden="false" customHeight="true" outlineLevel="0" collapsed="false">
      <c r="A14" s="4" t="s">
        <v>85</v>
      </c>
      <c r="B14" s="4" t="s">
        <v>86</v>
      </c>
      <c r="C14" s="4" t="s">
        <v>87</v>
      </c>
      <c r="D14" s="4"/>
      <c r="E14" s="4"/>
    </row>
    <row r="15" customFormat="false" ht="21.75" hidden="false" customHeight="true" outlineLevel="0" collapsed="false">
      <c r="A15" s="7" t="s">
        <v>88</v>
      </c>
      <c r="B15" s="15" t="n">
        <v>30</v>
      </c>
      <c r="C15" s="17" t="n">
        <f aca="false">IF($B$17=0,"",B15/$B$17)</f>
        <v>0.909090909090909</v>
      </c>
      <c r="D15" s="21"/>
      <c r="E15" s="21"/>
    </row>
    <row r="16" customFormat="false" ht="15" hidden="false" customHeight="true" outlineLevel="0" collapsed="false">
      <c r="A16" s="7" t="s">
        <v>89</v>
      </c>
      <c r="B16" s="15" t="n">
        <v>3</v>
      </c>
      <c r="C16" s="17" t="n">
        <f aca="false">IF($B$17=0,"",B16/$B$17)</f>
        <v>0.0909090909090909</v>
      </c>
      <c r="D16" s="21"/>
      <c r="E16" s="21"/>
    </row>
    <row r="17" customFormat="false" ht="15" hidden="false" customHeight="true" outlineLevel="0" collapsed="false">
      <c r="A17" s="22" t="s">
        <v>90</v>
      </c>
      <c r="B17" s="23" t="n">
        <f aca="false">SUM(B15:B16)</f>
        <v>33</v>
      </c>
      <c r="C17" s="24"/>
      <c r="D17" s="21"/>
      <c r="E17" s="21"/>
    </row>
    <row r="19" customFormat="false" ht="27.75" hidden="false" customHeight="true" outlineLevel="0" collapsed="false">
      <c r="A19" s="12" t="s">
        <v>91</v>
      </c>
      <c r="B19" s="25" t="s">
        <v>92</v>
      </c>
      <c r="C19" s="25"/>
      <c r="D19" s="25"/>
      <c r="E19" s="25"/>
    </row>
  </sheetData>
  <mergeCells count="4">
    <mergeCell ref="A1:E1"/>
    <mergeCell ref="A2:E2"/>
    <mergeCell ref="A13:E13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15"/>
    <col collapsed="false" customWidth="true" hidden="false" outlineLevel="0" max="4" min="4" style="1" width="26"/>
    <col collapsed="false" customWidth="true" hidden="false" outlineLevel="0" max="12" min="5" style="1" width="9"/>
    <col collapsed="false" customWidth="true" hidden="false" outlineLevel="0" max="13" min="13" style="1" width="11"/>
    <col collapsed="false" customWidth="true" hidden="false" outlineLevel="0" max="14" min="14" style="1" width="24"/>
    <col collapsed="false" customWidth="true" hidden="false" outlineLevel="0" max="15" min="15" style="1" width="26"/>
  </cols>
  <sheetData>
    <row r="1" customFormat="false" ht="25.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9.5" hidden="false" customHeight="true" outlineLevel="0" collapsed="false">
      <c r="A3" s="4" t="s">
        <v>95</v>
      </c>
      <c r="B3" s="4" t="s">
        <v>96</v>
      </c>
      <c r="C3" s="4" t="s">
        <v>97</v>
      </c>
      <c r="D3" s="4" t="s">
        <v>98</v>
      </c>
      <c r="E3" s="26" t="s">
        <v>99</v>
      </c>
      <c r="F3" s="26"/>
      <c r="G3" s="26" t="s">
        <v>100</v>
      </c>
      <c r="H3" s="26"/>
      <c r="I3" s="26" t="s">
        <v>101</v>
      </c>
      <c r="J3" s="26"/>
      <c r="K3" s="26" t="s">
        <v>54</v>
      </c>
      <c r="L3" s="26"/>
      <c r="M3" s="4" t="s">
        <v>102</v>
      </c>
      <c r="N3" s="4" t="s">
        <v>103</v>
      </c>
      <c r="O3" s="4" t="s">
        <v>104</v>
      </c>
    </row>
    <row r="4" customFormat="false" ht="15.75" hidden="false" customHeight="true" outlineLevel="0" collapsed="false">
      <c r="A4" s="4"/>
      <c r="B4" s="4"/>
      <c r="C4" s="4"/>
      <c r="D4" s="4"/>
      <c r="E4" s="27" t="s">
        <v>105</v>
      </c>
      <c r="F4" s="27" t="s">
        <v>5</v>
      </c>
      <c r="G4" s="27" t="s">
        <v>105</v>
      </c>
      <c r="H4" s="27" t="s">
        <v>5</v>
      </c>
      <c r="I4" s="27" t="s">
        <v>105</v>
      </c>
      <c r="J4" s="27" t="s">
        <v>5</v>
      </c>
      <c r="K4" s="27" t="s">
        <v>105</v>
      </c>
      <c r="L4" s="27" t="s">
        <v>5</v>
      </c>
      <c r="M4" s="4"/>
      <c r="N4" s="4"/>
      <c r="O4" s="4"/>
    </row>
    <row r="5" customFormat="false" ht="30" hidden="false" customHeight="true" outlineLevel="0" collapsed="false">
      <c r="A5" s="28" t="s">
        <v>106</v>
      </c>
      <c r="B5" s="18" t="s">
        <v>107</v>
      </c>
      <c r="C5" s="18" t="s">
        <v>108</v>
      </c>
      <c r="D5" s="7" t="s">
        <v>109</v>
      </c>
      <c r="E5" s="15" t="n">
        <v>25</v>
      </c>
      <c r="F5" s="16" t="n">
        <v>32</v>
      </c>
      <c r="G5" s="15" t="n">
        <v>10</v>
      </c>
      <c r="H5" s="16" t="n">
        <v>8</v>
      </c>
      <c r="I5" s="15" t="n">
        <v>0</v>
      </c>
      <c r="J5" s="16" t="n">
        <v>1</v>
      </c>
      <c r="K5" s="15" t="n">
        <v>0</v>
      </c>
      <c r="L5" s="16" t="n">
        <v>0</v>
      </c>
      <c r="M5" s="17" t="n">
        <f aca="false">IF(OR(E5=0,F5=""),"",F5/E5-1)</f>
        <v>0.28</v>
      </c>
      <c r="N5" s="29" t="str">
        <f aca="false">IF(F5="","—",IF(F5&gt;=E5,"ON TRACK / AHEAD",IF(F5&gt;=0.7*E5,"WATCH","BEHIND — forced push")))</f>
        <v>ON TRACK / AHEAD</v>
      </c>
      <c r="O5" s="9" t="s">
        <v>110</v>
      </c>
    </row>
    <row r="6" customFormat="false" ht="30" hidden="false" customHeight="true" outlineLevel="0" collapsed="false">
      <c r="A6" s="28" t="s">
        <v>111</v>
      </c>
      <c r="B6" s="18" t="s">
        <v>107</v>
      </c>
      <c r="C6" s="18" t="s">
        <v>112</v>
      </c>
      <c r="D6" s="7" t="s">
        <v>113</v>
      </c>
      <c r="E6" s="15" t="n">
        <v>43</v>
      </c>
      <c r="F6" s="30"/>
      <c r="G6" s="15" t="n">
        <v>20</v>
      </c>
      <c r="H6" s="30"/>
      <c r="I6" s="15" t="n">
        <v>0</v>
      </c>
      <c r="J6" s="30"/>
      <c r="K6" s="15" t="n">
        <v>5</v>
      </c>
      <c r="L6" s="30"/>
      <c r="M6" s="17" t="str">
        <f aca="false">IF(OR(E6=0,F6=""),"",F6/E6-1)</f>
        <v/>
      </c>
      <c r="N6" s="29" t="str">
        <f aca="false">IF(F6="","—",IF(F6&gt;=E6,"ON TRACK / AHEAD",IF(F6&gt;=0.7*E6,"WATCH","BEHIND — forced push")))</f>
        <v>—</v>
      </c>
      <c r="O6" s="9" t="s">
        <v>114</v>
      </c>
    </row>
    <row r="7" customFormat="false" ht="30" hidden="false" customHeight="true" outlineLevel="0" collapsed="false">
      <c r="A7" s="28" t="s">
        <v>115</v>
      </c>
      <c r="B7" s="18" t="s">
        <v>116</v>
      </c>
      <c r="C7" s="18" t="s">
        <v>117</v>
      </c>
      <c r="D7" s="7" t="s">
        <v>118</v>
      </c>
      <c r="E7" s="15" t="n">
        <v>70</v>
      </c>
      <c r="F7" s="30"/>
      <c r="G7" s="15" t="n">
        <v>30</v>
      </c>
      <c r="H7" s="30"/>
      <c r="I7" s="15" t="n">
        <v>0</v>
      </c>
      <c r="J7" s="30"/>
      <c r="K7" s="15" t="n">
        <v>12</v>
      </c>
      <c r="L7" s="30"/>
      <c r="M7" s="17" t="str">
        <f aca="false">IF(OR(E7=0,F7=""),"",F7/E7-1)</f>
        <v/>
      </c>
      <c r="N7" s="29" t="str">
        <f aca="false">IF(F7="","—",IF(F7&gt;=E7,"ON TRACK / AHEAD",IF(F7&gt;=0.7*E7,"WATCH","BEHIND — forced push")))</f>
        <v>—</v>
      </c>
      <c r="O7" s="9"/>
    </row>
    <row r="8" customFormat="false" ht="30" hidden="false" customHeight="true" outlineLevel="0" collapsed="false">
      <c r="A8" s="28" t="s">
        <v>119</v>
      </c>
      <c r="B8" s="18" t="s">
        <v>116</v>
      </c>
      <c r="C8" s="18" t="s">
        <v>120</v>
      </c>
      <c r="D8" s="7" t="s">
        <v>121</v>
      </c>
      <c r="E8" s="15" t="n">
        <v>105</v>
      </c>
      <c r="F8" s="30"/>
      <c r="G8" s="15" t="n">
        <v>40</v>
      </c>
      <c r="H8" s="30"/>
      <c r="I8" s="15" t="n">
        <v>15</v>
      </c>
      <c r="J8" s="30"/>
      <c r="K8" s="15" t="n">
        <v>12</v>
      </c>
      <c r="L8" s="30"/>
      <c r="M8" s="17" t="str">
        <f aca="false">IF(OR(E8=0,F8=""),"",F8/E8-1)</f>
        <v/>
      </c>
      <c r="N8" s="29" t="str">
        <f aca="false">IF(F8="","—",IF(F8&gt;=E8,"ON TRACK / AHEAD",IF(F8&gt;=0.7*E8,"WATCH","BEHIND — forced push")))</f>
        <v>—</v>
      </c>
      <c r="O8" s="9"/>
    </row>
    <row r="9" customFormat="false" ht="30" hidden="false" customHeight="true" outlineLevel="0" collapsed="false">
      <c r="A9" s="28" t="s">
        <v>122</v>
      </c>
      <c r="B9" s="18" t="s">
        <v>123</v>
      </c>
      <c r="C9" s="18" t="s">
        <v>124</v>
      </c>
      <c r="D9" s="7" t="s">
        <v>125</v>
      </c>
      <c r="E9" s="15" t="n">
        <v>140</v>
      </c>
      <c r="F9" s="30"/>
      <c r="G9" s="15" t="n">
        <v>55</v>
      </c>
      <c r="H9" s="30"/>
      <c r="I9" s="15" t="n">
        <v>22</v>
      </c>
      <c r="J9" s="30"/>
      <c r="K9" s="15" t="n">
        <v>12</v>
      </c>
      <c r="L9" s="30"/>
      <c r="M9" s="17" t="str">
        <f aca="false">IF(OR(E9=0,F9=""),"",F9/E9-1)</f>
        <v/>
      </c>
      <c r="N9" s="29" t="str">
        <f aca="false">IF(F9="","—",IF(F9&gt;=E9,"ON TRACK / AHEAD",IF(F9&gt;=0.7*E9,"WATCH","BEHIND — forced push")))</f>
        <v>—</v>
      </c>
      <c r="O9" s="9"/>
    </row>
    <row r="10" customFormat="false" ht="30" hidden="false" customHeight="true" outlineLevel="0" collapsed="false">
      <c r="A10" s="28" t="s">
        <v>126</v>
      </c>
      <c r="B10" s="18" t="s">
        <v>123</v>
      </c>
      <c r="C10" s="18" t="s">
        <v>127</v>
      </c>
      <c r="D10" s="7" t="s">
        <v>128</v>
      </c>
      <c r="E10" s="15" t="n">
        <v>170</v>
      </c>
      <c r="F10" s="30"/>
      <c r="G10" s="15" t="n">
        <v>70</v>
      </c>
      <c r="H10" s="30"/>
      <c r="I10" s="15" t="n">
        <v>32</v>
      </c>
      <c r="J10" s="30"/>
      <c r="K10" s="15" t="n">
        <v>12</v>
      </c>
      <c r="L10" s="30"/>
      <c r="M10" s="17" t="str">
        <f aca="false">IF(OR(E10=0,F10=""),"",F10/E10-1)</f>
        <v/>
      </c>
      <c r="N10" s="29" t="str">
        <f aca="false">IF(F10="","—",IF(F10&gt;=E10,"ON TRACK / AHEAD",IF(F10&gt;=0.7*E10,"WATCH","BEHIND — forced push")))</f>
        <v>—</v>
      </c>
      <c r="O10" s="9"/>
    </row>
    <row r="11" customFormat="false" ht="30" hidden="false" customHeight="true" outlineLevel="0" collapsed="false">
      <c r="A11" s="28" t="s">
        <v>129</v>
      </c>
      <c r="B11" s="18" t="s">
        <v>130</v>
      </c>
      <c r="C11" s="18" t="s">
        <v>131</v>
      </c>
      <c r="D11" s="7" t="s">
        <v>132</v>
      </c>
      <c r="E11" s="15" t="n">
        <v>190</v>
      </c>
      <c r="F11" s="30"/>
      <c r="G11" s="15" t="n">
        <v>85</v>
      </c>
      <c r="H11" s="30"/>
      <c r="I11" s="15" t="n">
        <v>45</v>
      </c>
      <c r="J11" s="30"/>
      <c r="K11" s="15" t="n">
        <v>12</v>
      </c>
      <c r="L11" s="30"/>
      <c r="M11" s="17" t="str">
        <f aca="false">IF(OR(E11=0,F11=""),"",F11/E11-1)</f>
        <v/>
      </c>
      <c r="N11" s="29" t="str">
        <f aca="false">IF(F11="","—",IF(F11&gt;=E11,"ON TRACK / AHEAD",IF(F11&gt;=0.7*E11,"WATCH","BEHIND — forced push")))</f>
        <v>—</v>
      </c>
      <c r="O11" s="9"/>
    </row>
    <row r="12" customFormat="false" ht="30" hidden="false" customHeight="true" outlineLevel="0" collapsed="false">
      <c r="A12" s="28" t="s">
        <v>133</v>
      </c>
      <c r="B12" s="18" t="s">
        <v>130</v>
      </c>
      <c r="C12" s="18" t="s">
        <v>134</v>
      </c>
      <c r="D12" s="7" t="s">
        <v>135</v>
      </c>
      <c r="E12" s="15" t="n">
        <v>200</v>
      </c>
      <c r="F12" s="30"/>
      <c r="G12" s="15" t="n">
        <v>90</v>
      </c>
      <c r="H12" s="30"/>
      <c r="I12" s="15" t="n">
        <v>50</v>
      </c>
      <c r="J12" s="30"/>
      <c r="K12" s="15" t="n">
        <v>15</v>
      </c>
      <c r="L12" s="30"/>
      <c r="M12" s="17" t="str">
        <f aca="false">IF(OR(E12=0,F12=""),"",F12/E12-1)</f>
        <v/>
      </c>
      <c r="N12" s="29" t="str">
        <f aca="false">IF(F12="","—",IF(F12&gt;=E12,"ON TRACK / AHEAD",IF(F12&gt;=0.7*E12,"WATCH","BEHIND — forced push")))</f>
        <v>—</v>
      </c>
      <c r="O12" s="9"/>
    </row>
    <row r="14" customFormat="false" ht="25.5" hidden="false" customHeight="true" outlineLevel="0" collapsed="false">
      <c r="A14" s="12" t="s">
        <v>136</v>
      </c>
      <c r="B14" s="25" t="s">
        <v>137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</sheetData>
  <mergeCells count="14">
    <mergeCell ref="A1:O1"/>
    <mergeCell ref="A2:O2"/>
    <mergeCell ref="A3:A4"/>
    <mergeCell ref="B3:B4"/>
    <mergeCell ref="C3:C4"/>
    <mergeCell ref="D3:D4"/>
    <mergeCell ref="E3:F3"/>
    <mergeCell ref="G3:H3"/>
    <mergeCell ref="I3:J3"/>
    <mergeCell ref="K3:L3"/>
    <mergeCell ref="M3:M4"/>
    <mergeCell ref="N3:N4"/>
    <mergeCell ref="O3:O4"/>
    <mergeCell ref="B14:O14"/>
  </mergeCells>
  <conditionalFormatting sqref="N5:N12">
    <cfRule type="expression" priority="2" aboveAverage="0" equalAverage="0" bottom="0" percent="0" rank="0" text="" dxfId="0">
      <formula>ISNUMBER(SEARCH("AHEAD",N5))</formula>
    </cfRule>
    <cfRule type="expression" priority="3" aboveAverage="0" equalAverage="0" bottom="0" percent="0" rank="0" text="" dxfId="1">
      <formula>ISNUMBER(SEARCH("WATCH",N5))</formula>
    </cfRule>
    <cfRule type="expression" priority="4" aboveAverage="0" equalAverage="0" bottom="0" percent="0" rank="0" text="" dxfId="2">
      <formula>ISNUMBER(SEARCH("BEHIND",N5))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8"/>
  </cols>
  <sheetData>
    <row r="1" customFormat="false" ht="25.5" hidden="false" customHeight="true" outlineLevel="0" collapsed="false">
      <c r="A1" s="2" t="s">
        <v>138</v>
      </c>
      <c r="B1" s="2"/>
      <c r="C1" s="2"/>
    </row>
    <row r="2" customFormat="false" ht="15.75" hidden="false" customHeight="true" outlineLevel="0" collapsed="false">
      <c r="A2" s="3" t="s">
        <v>139</v>
      </c>
      <c r="B2" s="3"/>
      <c r="C2" s="3"/>
    </row>
    <row r="3" customFormat="false" ht="15" hidden="false" customHeight="true" outlineLevel="0" collapsed="false">
      <c r="A3" s="31" t="s">
        <v>140</v>
      </c>
      <c r="B3" s="31"/>
      <c r="C3" s="31"/>
    </row>
    <row r="4" customFormat="false" ht="30" hidden="false" customHeight="true" outlineLevel="0" collapsed="false">
      <c r="A4" s="32" t="s">
        <v>141</v>
      </c>
      <c r="B4" s="33" t="s">
        <v>142</v>
      </c>
      <c r="C4" s="33"/>
    </row>
    <row r="5" customFormat="false" ht="30" hidden="false" customHeight="true" outlineLevel="0" collapsed="false">
      <c r="A5" s="32" t="s">
        <v>143</v>
      </c>
      <c r="B5" s="33" t="s">
        <v>144</v>
      </c>
      <c r="C5" s="33"/>
    </row>
    <row r="6" customFormat="false" ht="30" hidden="false" customHeight="true" outlineLevel="0" collapsed="false">
      <c r="A6" s="32" t="s">
        <v>145</v>
      </c>
      <c r="B6" s="33" t="s">
        <v>146</v>
      </c>
      <c r="C6" s="33"/>
    </row>
    <row r="7" customFormat="false" ht="30" hidden="false" customHeight="true" outlineLevel="0" collapsed="false">
      <c r="A7" s="32" t="s">
        <v>147</v>
      </c>
      <c r="B7" s="33" t="s">
        <v>148</v>
      </c>
      <c r="C7" s="33"/>
    </row>
    <row r="9" customFormat="false" ht="15" hidden="false" customHeight="true" outlineLevel="0" collapsed="false">
      <c r="A9" s="34" t="s">
        <v>149</v>
      </c>
      <c r="B9" s="34"/>
      <c r="C9" s="34"/>
    </row>
    <row r="10" customFormat="false" ht="30" hidden="false" customHeight="true" outlineLevel="0" collapsed="false">
      <c r="A10" s="35" t="s">
        <v>150</v>
      </c>
      <c r="B10" s="33" t="s">
        <v>151</v>
      </c>
      <c r="C10" s="33"/>
    </row>
    <row r="11" customFormat="false" ht="30" hidden="false" customHeight="true" outlineLevel="0" collapsed="false">
      <c r="A11" s="35" t="s">
        <v>152</v>
      </c>
      <c r="B11" s="33" t="s">
        <v>153</v>
      </c>
      <c r="C11" s="33"/>
    </row>
    <row r="12" customFormat="false" ht="30" hidden="false" customHeight="true" outlineLevel="0" collapsed="false">
      <c r="A12" s="35" t="s">
        <v>154</v>
      </c>
      <c r="B12" s="33" t="s">
        <v>155</v>
      </c>
      <c r="C12" s="33"/>
    </row>
    <row r="13" customFormat="false" ht="30" hidden="false" customHeight="true" outlineLevel="0" collapsed="false">
      <c r="A13" s="35" t="s">
        <v>156</v>
      </c>
      <c r="B13" s="33" t="s">
        <v>157</v>
      </c>
      <c r="C13" s="33"/>
    </row>
    <row r="14" customFormat="false" ht="30" hidden="false" customHeight="true" outlineLevel="0" collapsed="false">
      <c r="A14" s="35" t="s">
        <v>158</v>
      </c>
      <c r="B14" s="33" t="s">
        <v>159</v>
      </c>
      <c r="C14" s="33"/>
    </row>
    <row r="16" customFormat="false" ht="15" hidden="false" customHeight="true" outlineLevel="0" collapsed="false">
      <c r="A16" s="20" t="s">
        <v>160</v>
      </c>
      <c r="B16" s="20"/>
      <c r="C16" s="20"/>
    </row>
    <row r="17" customFormat="false" ht="30" hidden="false" customHeight="true" outlineLevel="0" collapsed="false">
      <c r="A17" s="4" t="s">
        <v>161</v>
      </c>
      <c r="B17" s="4" t="s">
        <v>162</v>
      </c>
      <c r="C17" s="4" t="s">
        <v>163</v>
      </c>
    </row>
    <row r="18" customFormat="false" ht="27.75" hidden="false" customHeight="true" outlineLevel="0" collapsed="false">
      <c r="A18" s="36" t="s">
        <v>164</v>
      </c>
      <c r="B18" s="7" t="s">
        <v>165</v>
      </c>
      <c r="C18" s="37" t="s">
        <v>166</v>
      </c>
    </row>
    <row r="19" customFormat="false" ht="27.75" hidden="false" customHeight="true" outlineLevel="0" collapsed="false">
      <c r="A19" s="36" t="s">
        <v>167</v>
      </c>
      <c r="B19" s="7" t="s">
        <v>168</v>
      </c>
      <c r="C19" s="37" t="s">
        <v>166</v>
      </c>
    </row>
    <row r="20" customFormat="false" ht="27.75" hidden="false" customHeight="true" outlineLevel="0" collapsed="false">
      <c r="A20" s="36" t="s">
        <v>169</v>
      </c>
      <c r="B20" s="7" t="s">
        <v>170</v>
      </c>
      <c r="C20" s="37" t="s">
        <v>166</v>
      </c>
    </row>
    <row r="21" customFormat="false" ht="27.75" hidden="false" customHeight="true" outlineLevel="0" collapsed="false">
      <c r="A21" s="36" t="s">
        <v>171</v>
      </c>
      <c r="B21" s="7" t="s">
        <v>172</v>
      </c>
      <c r="C21" s="37" t="s">
        <v>166</v>
      </c>
    </row>
    <row r="22" customFormat="false" ht="27.75" hidden="false" customHeight="true" outlineLevel="0" collapsed="false">
      <c r="A22" s="36" t="s">
        <v>173</v>
      </c>
      <c r="B22" s="7" t="s">
        <v>174</v>
      </c>
      <c r="C22" s="38" t="s">
        <v>175</v>
      </c>
    </row>
    <row r="23" customFormat="false" ht="27.75" hidden="false" customHeight="true" outlineLevel="0" collapsed="false">
      <c r="A23" s="36" t="s">
        <v>176</v>
      </c>
      <c r="B23" s="7" t="s">
        <v>177</v>
      </c>
      <c r="C23" s="38" t="s">
        <v>178</v>
      </c>
    </row>
    <row r="24" customFormat="false" ht="27.75" hidden="false" customHeight="true" outlineLevel="0" collapsed="false">
      <c r="A24" s="36" t="s">
        <v>179</v>
      </c>
      <c r="B24" s="7" t="s">
        <v>180</v>
      </c>
      <c r="C24" s="38" t="s">
        <v>178</v>
      </c>
    </row>
    <row r="25" customFormat="false" ht="27.75" hidden="false" customHeight="true" outlineLevel="0" collapsed="false">
      <c r="A25" s="36" t="s">
        <v>181</v>
      </c>
      <c r="B25" s="7" t="s">
        <v>182</v>
      </c>
      <c r="C25" s="38" t="s">
        <v>183</v>
      </c>
    </row>
    <row r="26" customFormat="false" ht="27.75" hidden="false" customHeight="true" outlineLevel="0" collapsed="false">
      <c r="A26" s="36" t="s">
        <v>184</v>
      </c>
      <c r="B26" s="7" t="s">
        <v>185</v>
      </c>
      <c r="C26" s="38" t="s">
        <v>183</v>
      </c>
    </row>
  </sheetData>
  <mergeCells count="14">
    <mergeCell ref="A1:C1"/>
    <mergeCell ref="A2:C2"/>
    <mergeCell ref="A3:C3"/>
    <mergeCell ref="B4:C4"/>
    <mergeCell ref="B5:C5"/>
    <mergeCell ref="B6:C6"/>
    <mergeCell ref="B7:C7"/>
    <mergeCell ref="A9:C9"/>
    <mergeCell ref="B10:C10"/>
    <mergeCell ref="B11:C11"/>
    <mergeCell ref="B12:C12"/>
    <mergeCell ref="B13:C13"/>
    <mergeCell ref="B14:C1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2026-07-20T12:52:02Z</dcterms:created>
  <dc:creator>openpyxl</dc:creator>
  <dc:description/>
  <dc:language>en-US</dc:language>
  <cp:lastModifiedBy/>
  <dcterms:modified xsi:type="dcterms:W3CDTF">2026-07-20T15:50:00Z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